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willcoleman/Documents/Misc./"/>
    </mc:Choice>
  </mc:AlternateContent>
  <xr:revisionPtr revIDLastSave="0" documentId="13_ncr:1_{1F74FCC2-9210-6341-A168-2B80EB85E558}" xr6:coauthVersionLast="47" xr6:coauthVersionMax="47" xr10:uidLastSave="{00000000-0000-0000-0000-000000000000}"/>
  <bookViews>
    <workbookView xWindow="0" yWindow="780" windowWidth="34200" windowHeight="19540" xr2:uid="{00000000-000D-0000-FFFF-FFFF00000000}"/>
  </bookViews>
  <sheets>
    <sheet name="Investor Spread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7" i="1"/>
  <c r="I16" i="1" s="1"/>
  <c r="C16" i="1"/>
  <c r="F15" i="1"/>
  <c r="C14" i="1"/>
  <c r="C11" i="1"/>
  <c r="F9" i="1"/>
  <c r="C9" i="1"/>
  <c r="L5" i="1"/>
  <c r="F17" i="1" l="1"/>
  <c r="I15" i="1"/>
  <c r="C24" i="1" s="1"/>
  <c r="C21" i="1"/>
  <c r="C22" i="1"/>
  <c r="F10" i="1"/>
  <c r="F11" i="1" s="1"/>
  <c r="F16" i="1" s="1"/>
  <c r="F18" i="1" s="1"/>
  <c r="I5" i="1" s="1"/>
  <c r="L10" i="1"/>
  <c r="I9" i="1" l="1"/>
  <c r="C23" i="1" s="1"/>
  <c r="L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5" authorId="0" shapeId="0" xr:uid="{00000000-0006-0000-0000-000001000000}">
      <text>
        <r>
          <rPr>
            <sz val="10"/>
            <color rgb="FF000000"/>
            <rFont val="Arial"/>
            <scheme val="minor"/>
          </rPr>
          <t>This answers the question, "would we break even in the event of forclosure on day 1 assuming the borrower did no work. 
If No and No -&gt; The calculation is the Estimated As is Value - (our loan amount (at purchase) + interest for the entire loan + points + 4% closing Costs)
If No and Yes -&gt; The calculation is the Estimated As is Value - (our loan amount (at purchase) + interest for the entire loan  + 4% closing Costs)
If yes &amp; Yes -&gt; The calculation is the Estimated As is Value - (our loan amount (at purchase) + 4% closing Costs)</t>
        </r>
      </text>
    </comment>
  </commentList>
</comments>
</file>

<file path=xl/sharedStrings.xml><?xml version="1.0" encoding="utf-8"?>
<sst xmlns="http://schemas.openxmlformats.org/spreadsheetml/2006/main" count="59" uniqueCount="58">
  <si>
    <t>Platinum</t>
  </si>
  <si>
    <t xml:space="preserve">Purchase Price </t>
  </si>
  <si>
    <t xml:space="preserve">Closing Costs </t>
  </si>
  <si>
    <t>Total Costs</t>
  </si>
  <si>
    <t>Gold</t>
  </si>
  <si>
    <t xml:space="preserve">Rehab </t>
  </si>
  <si>
    <t>Internal Estimated ARV</t>
  </si>
  <si>
    <t>Silver</t>
  </si>
  <si>
    <t>Square Feet</t>
  </si>
  <si>
    <t>Interest Rate</t>
  </si>
  <si>
    <t xml:space="preserve">Borrower Profit </t>
  </si>
  <si>
    <t>Bronze</t>
  </si>
  <si>
    <t xml:space="preserve">Property Condition </t>
  </si>
  <si>
    <t>Good</t>
  </si>
  <si>
    <t xml:space="preserve"># of Months </t>
  </si>
  <si>
    <t>Renovation $$/SF</t>
  </si>
  <si>
    <t xml:space="preserve"># of days </t>
  </si>
  <si>
    <t>Very Strong</t>
  </si>
  <si>
    <t>Light ($30/SF)</t>
  </si>
  <si>
    <t xml:space="preserve">Per Diem </t>
  </si>
  <si>
    <t>Stress Tested L-ARV</t>
  </si>
  <si>
    <t>Strong</t>
  </si>
  <si>
    <t xml:space="preserve">Total Cost </t>
  </si>
  <si>
    <t xml:space="preserve">Total Interest </t>
  </si>
  <si>
    <t>Internal Estimate As is Value</t>
  </si>
  <si>
    <t>Average</t>
  </si>
  <si>
    <t>Weak</t>
  </si>
  <si>
    <t xml:space="preserve">Loan at Purchase </t>
  </si>
  <si>
    <t>Points</t>
  </si>
  <si>
    <t xml:space="preserve">Monthly Estimated Rent As is </t>
  </si>
  <si>
    <t>Very Weak</t>
  </si>
  <si>
    <t>% of Purchase Price</t>
  </si>
  <si>
    <t xml:space="preserve">Renovation Funds </t>
  </si>
  <si>
    <t>Closing Costs</t>
  </si>
  <si>
    <t xml:space="preserve">De We Break Even Day 1? </t>
  </si>
  <si>
    <t>Yes</t>
  </si>
  <si>
    <t>% of Renovation</t>
  </si>
  <si>
    <t xml:space="preserve">Interest </t>
  </si>
  <si>
    <t xml:space="preserve">Debt Yield (assuming a 40% opex ratio) </t>
  </si>
  <si>
    <t>No</t>
  </si>
  <si>
    <t xml:space="preserve">Total Loan Amount </t>
  </si>
  <si>
    <t xml:space="preserve">Points </t>
  </si>
  <si>
    <t>Total</t>
  </si>
  <si>
    <t xml:space="preserve">Score Card </t>
  </si>
  <si>
    <t>Are there any other details you'd like give to Gary in order to give his opinion?</t>
  </si>
  <si>
    <t>Tertiary</t>
  </si>
  <si>
    <t xml:space="preserve">Loan to As is Value (at purchase) </t>
  </si>
  <si>
    <t>Loan to ARV</t>
  </si>
  <si>
    <t>Loan to Cost</t>
  </si>
  <si>
    <t>Borrower Spread</t>
  </si>
  <si>
    <t xml:space="preserve">Gary's Opinion: </t>
  </si>
  <si>
    <t>Do we Break Even in a Forclosure scenario</t>
  </si>
  <si>
    <t xml:space="preserve">Primary, Secondary, or Tertiary Market </t>
  </si>
  <si>
    <t>Primary</t>
  </si>
  <si>
    <t>Risk Rating Score (1-10)</t>
  </si>
  <si>
    <t xml:space="preserve">Property Address: </t>
  </si>
  <si>
    <t xml:space="preserve">what they think of the deal and give details of the detail </t>
  </si>
  <si>
    <t>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</si>
</sst>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&quot;$&quot;#,##0.0"/>
    <numFmt numFmtId="167" formatCode="&quot;$&quot;#,##0.00"/>
    <numFmt numFmtId="168" formatCode="m/d"/>
  </numFmts>
  <fonts count="19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Calibri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color rgb="FF7E3794"/>
      <name val="&quot;Google Sans Mono&quot;"/>
    </font>
    <font>
      <b/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rgb="FF1155CC"/>
      <name val="&quot;Google Sans Mono&quot;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1" xfId="0" applyFont="1" applyBorder="1"/>
    <xf numFmtId="164" fontId="3" fillId="2" borderId="2" xfId="0" applyNumberFormat="1" applyFont="1" applyFill="1" applyBorder="1" applyAlignment="1">
      <alignment horizontal="right"/>
    </xf>
    <xf numFmtId="0" fontId="4" fillId="0" borderId="0" xfId="0" applyFont="1"/>
    <xf numFmtId="0" fontId="3" fillId="0" borderId="1" xfId="0" applyFont="1" applyBorder="1"/>
    <xf numFmtId="10" fontId="3" fillId="0" borderId="2" xfId="0" applyNumberFormat="1" applyFont="1" applyBorder="1" applyAlignment="1">
      <alignment horizontal="right"/>
    </xf>
    <xf numFmtId="164" fontId="4" fillId="0" borderId="0" xfId="0" applyNumberFormat="1" applyFont="1"/>
    <xf numFmtId="164" fontId="3" fillId="0" borderId="2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center"/>
    </xf>
    <xf numFmtId="0" fontId="2" fillId="0" borderId="3" xfId="0" applyFont="1" applyBorder="1"/>
    <xf numFmtId="164" fontId="3" fillId="2" borderId="4" xfId="0" applyNumberFormat="1" applyFont="1" applyFill="1" applyBorder="1" applyAlignment="1">
      <alignment horizontal="right"/>
    </xf>
    <xf numFmtId="0" fontId="3" fillId="0" borderId="3" xfId="0" applyFont="1" applyBorder="1"/>
    <xf numFmtId="9" fontId="4" fillId="0" borderId="4" xfId="0" applyNumberFormat="1" applyFont="1" applyBorder="1"/>
    <xf numFmtId="165" fontId="3" fillId="2" borderId="4" xfId="0" applyNumberFormat="1" applyFont="1" applyFill="1" applyBorder="1" applyAlignment="1">
      <alignment horizontal="right"/>
    </xf>
    <xf numFmtId="166" fontId="4" fillId="0" borderId="3" xfId="0" applyNumberFormat="1" applyFont="1" applyBorder="1"/>
    <xf numFmtId="166" fontId="4" fillId="0" borderId="4" xfId="0" applyNumberFormat="1" applyFont="1" applyBorder="1"/>
    <xf numFmtId="4" fontId="3" fillId="2" borderId="4" xfId="0" applyNumberFormat="1" applyFont="1" applyFill="1" applyBorder="1" applyAlignment="1">
      <alignment horizontal="right"/>
    </xf>
    <xf numFmtId="2" fontId="4" fillId="3" borderId="4" xfId="0" applyNumberFormat="1" applyFont="1" applyFill="1" applyBorder="1"/>
    <xf numFmtId="164" fontId="3" fillId="0" borderId="4" xfId="0" applyNumberFormat="1" applyFont="1" applyBorder="1" applyAlignment="1">
      <alignment horizontal="right"/>
    </xf>
    <xf numFmtId="44" fontId="3" fillId="0" borderId="4" xfId="0" applyNumberFormat="1" applyFont="1" applyBorder="1"/>
    <xf numFmtId="0" fontId="3" fillId="2" borderId="4" xfId="0" applyFont="1" applyFill="1" applyBorder="1" applyAlignment="1">
      <alignment horizontal="right"/>
    </xf>
    <xf numFmtId="0" fontId="4" fillId="0" borderId="4" xfId="0" applyFont="1" applyBorder="1"/>
    <xf numFmtId="166" fontId="4" fillId="0" borderId="5" xfId="0" applyNumberFormat="1" applyFont="1" applyBorder="1"/>
    <xf numFmtId="166" fontId="4" fillId="0" borderId="6" xfId="0" applyNumberFormat="1" applyFont="1" applyBorder="1"/>
    <xf numFmtId="0" fontId="3" fillId="0" borderId="4" xfId="0" applyFont="1" applyBorder="1" applyAlignment="1">
      <alignment horizontal="right"/>
    </xf>
    <xf numFmtId="0" fontId="3" fillId="0" borderId="5" xfId="0" applyFont="1" applyBorder="1"/>
    <xf numFmtId="164" fontId="3" fillId="0" borderId="6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right"/>
    </xf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10" fontId="4" fillId="0" borderId="8" xfId="0" applyNumberFormat="1" applyFont="1" applyBorder="1"/>
    <xf numFmtId="0" fontId="5" fillId="0" borderId="0" xfId="0" applyFont="1" applyAlignment="1">
      <alignment vertical="center"/>
    </xf>
    <xf numFmtId="0" fontId="3" fillId="3" borderId="1" xfId="0" applyFont="1" applyFill="1" applyBorder="1"/>
    <xf numFmtId="44" fontId="3" fillId="2" borderId="2" xfId="0" applyNumberFormat="1" applyFont="1" applyFill="1" applyBorder="1" applyAlignment="1">
      <alignment horizontal="right"/>
    </xf>
    <xf numFmtId="164" fontId="4" fillId="0" borderId="4" xfId="0" applyNumberFormat="1" applyFont="1" applyBorder="1"/>
    <xf numFmtId="164" fontId="4" fillId="2" borderId="4" xfId="0" applyNumberFormat="1" applyFont="1" applyFill="1" applyBorder="1"/>
    <xf numFmtId="10" fontId="3" fillId="2" borderId="4" xfId="0" applyNumberFormat="1" applyFont="1" applyFill="1" applyBorder="1" applyAlignment="1">
      <alignment horizontal="right"/>
    </xf>
    <xf numFmtId="165" fontId="5" fillId="2" borderId="6" xfId="0" applyNumberFormat="1" applyFont="1" applyFill="1" applyBorder="1"/>
    <xf numFmtId="0" fontId="6" fillId="0" borderId="3" xfId="0" applyFont="1" applyBorder="1" applyAlignment="1">
      <alignment horizontal="left" vertical="top"/>
    </xf>
    <xf numFmtId="10" fontId="7" fillId="3" borderId="4" xfId="0" applyNumberFormat="1" applyFont="1" applyFill="1" applyBorder="1" applyAlignment="1">
      <alignment horizontal="right" vertical="top"/>
    </xf>
    <xf numFmtId="0" fontId="3" fillId="0" borderId="0" xfId="0" applyFont="1"/>
    <xf numFmtId="10" fontId="4" fillId="0" borderId="0" xfId="0" applyNumberFormat="1" applyFont="1"/>
    <xf numFmtId="0" fontId="5" fillId="0" borderId="1" xfId="0" applyFont="1" applyBorder="1"/>
    <xf numFmtId="165" fontId="5" fillId="0" borderId="2" xfId="0" applyNumberFormat="1" applyFont="1" applyBorder="1"/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/>
    <xf numFmtId="10" fontId="4" fillId="0" borderId="6" xfId="0" applyNumberFormat="1" applyFont="1" applyBorder="1"/>
    <xf numFmtId="0" fontId="2" fillId="0" borderId="5" xfId="0" applyFont="1" applyBorder="1"/>
    <xf numFmtId="164" fontId="2" fillId="3" borderId="6" xfId="0" applyNumberFormat="1" applyFont="1" applyFill="1" applyBorder="1" applyAlignment="1">
      <alignment horizontal="right"/>
    </xf>
    <xf numFmtId="0" fontId="10" fillId="3" borderId="0" xfId="0" applyFont="1" applyFill="1"/>
    <xf numFmtId="0" fontId="11" fillId="0" borderId="0" xfId="0" applyFont="1" applyAlignment="1">
      <alignment horizontal="left" vertical="top" wrapText="1"/>
    </xf>
    <xf numFmtId="9" fontId="7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2" fillId="0" borderId="3" xfId="0" applyFont="1" applyBorder="1"/>
    <xf numFmtId="10" fontId="12" fillId="0" borderId="4" xfId="0" applyNumberFormat="1" applyFont="1" applyBorder="1" applyAlignment="1">
      <alignment horizontal="center"/>
    </xf>
    <xf numFmtId="0" fontId="13" fillId="3" borderId="0" xfId="0" applyFont="1" applyFill="1" applyAlignment="1">
      <alignment vertical="center"/>
    </xf>
    <xf numFmtId="10" fontId="5" fillId="3" borderId="0" xfId="0" applyNumberFormat="1" applyFont="1" applyFill="1"/>
    <xf numFmtId="10" fontId="7" fillId="0" borderId="0" xfId="0" applyNumberFormat="1" applyFont="1" applyAlignment="1">
      <alignment vertical="top" wrapText="1"/>
    </xf>
    <xf numFmtId="167" fontId="5" fillId="3" borderId="0" xfId="0" applyNumberFormat="1" applyFont="1" applyFill="1"/>
    <xf numFmtId="0" fontId="14" fillId="3" borderId="0" xfId="0" applyFont="1" applyFill="1"/>
    <xf numFmtId="164" fontId="15" fillId="0" borderId="4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4" xfId="0" applyFont="1" applyBorder="1" applyAlignment="1">
      <alignment horizontal="center"/>
    </xf>
    <xf numFmtId="0" fontId="12" fillId="0" borderId="5" xfId="0" applyFont="1" applyBorder="1"/>
    <xf numFmtId="2" fontId="4" fillId="3" borderId="6" xfId="0" applyNumberFormat="1" applyFont="1" applyFill="1" applyBorder="1" applyAlignment="1">
      <alignment horizontal="center"/>
    </xf>
    <xf numFmtId="0" fontId="5" fillId="0" borderId="0" xfId="0" applyFont="1"/>
    <xf numFmtId="168" fontId="5" fillId="0" borderId="0" xfId="0" applyNumberFormat="1" applyFont="1"/>
    <xf numFmtId="167" fontId="5" fillId="0" borderId="0" xfId="0" applyNumberFormat="1" applyFont="1"/>
    <xf numFmtId="0" fontId="8" fillId="0" borderId="9" xfId="0" applyFont="1" applyBorder="1" applyAlignment="1">
      <alignment horizontal="center"/>
    </xf>
    <xf numFmtId="0" fontId="9" fillId="0" borderId="10" xfId="0" applyFont="1" applyBorder="1"/>
    <xf numFmtId="9" fontId="3" fillId="4" borderId="4" xfId="0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top"/>
    </xf>
  </cellXfs>
  <cellStyles count="1">
    <cellStyle name="Normal" xfId="0" builtinId="0"/>
  </cellStyles>
  <dxfs count="1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R36"/>
  <sheetViews>
    <sheetView showGridLines="0" tabSelected="1" workbookViewId="0">
      <selection activeCell="H24" sqref="H24:H28"/>
    </sheetView>
  </sheetViews>
  <sheetFormatPr baseColWidth="10" defaultColWidth="12.6640625" defaultRowHeight="15.75" customHeight="1"/>
  <cols>
    <col min="1" max="1" width="1.6640625" customWidth="1"/>
    <col min="2" max="2" width="37.83203125" customWidth="1"/>
    <col min="3" max="3" width="21.5" customWidth="1"/>
    <col min="4" max="4" width="2.6640625" customWidth="1"/>
    <col min="7" max="7" width="2.1640625" customWidth="1"/>
    <col min="8" max="8" width="54.6640625" customWidth="1"/>
    <col min="10" max="10" width="2.5" customWidth="1"/>
    <col min="11" max="11" width="15.33203125" customWidth="1"/>
    <col min="12" max="12" width="10.1640625" customWidth="1"/>
  </cols>
  <sheetData>
    <row r="2" spans="2:18" ht="15.75" customHeight="1">
      <c r="B2" s="75" t="s">
        <v>55</v>
      </c>
    </row>
    <row r="4" spans="2:18" ht="7.5" customHeight="1">
      <c r="O4" s="1" t="s">
        <v>0</v>
      </c>
    </row>
    <row r="5" spans="2:18" ht="15">
      <c r="B5" s="2" t="s">
        <v>1</v>
      </c>
      <c r="C5" s="3">
        <v>140000</v>
      </c>
      <c r="D5" s="4"/>
      <c r="E5" s="5" t="s">
        <v>2</v>
      </c>
      <c r="F5" s="6">
        <v>6.5000000000000002E-2</v>
      </c>
      <c r="G5" s="7"/>
      <c r="H5" s="5" t="s">
        <v>3</v>
      </c>
      <c r="I5" s="8">
        <f>C11+F18</f>
        <v>184000</v>
      </c>
      <c r="J5" s="4"/>
      <c r="K5" s="9">
        <v>0.1</v>
      </c>
      <c r="L5" s="8">
        <f>I6 - (I6*K5)</f>
        <v>189000</v>
      </c>
      <c r="O5" s="1" t="s">
        <v>4</v>
      </c>
      <c r="P5" s="1">
        <v>10</v>
      </c>
    </row>
    <row r="6" spans="2:18" ht="15">
      <c r="B6" s="10" t="s">
        <v>5</v>
      </c>
      <c r="C6" s="11">
        <v>25000</v>
      </c>
      <c r="D6" s="4"/>
      <c r="E6" s="12"/>
      <c r="F6" s="13"/>
      <c r="G6" s="4"/>
      <c r="H6" s="12" t="s">
        <v>6</v>
      </c>
      <c r="I6" s="14">
        <v>210000</v>
      </c>
      <c r="J6" s="4"/>
      <c r="K6" s="15"/>
      <c r="L6" s="16"/>
      <c r="O6" s="1" t="s">
        <v>7</v>
      </c>
      <c r="P6" s="1">
        <v>6</v>
      </c>
    </row>
    <row r="7" spans="2:18" ht="15">
      <c r="B7" s="10" t="s">
        <v>8</v>
      </c>
      <c r="C7" s="17">
        <v>1150</v>
      </c>
      <c r="D7" s="4"/>
      <c r="E7" s="12" t="s">
        <v>9</v>
      </c>
      <c r="F7" s="74">
        <v>0.12</v>
      </c>
      <c r="G7" s="4"/>
      <c r="H7" s="12"/>
      <c r="I7" s="18"/>
      <c r="J7" s="4"/>
      <c r="K7" s="12" t="s">
        <v>10</v>
      </c>
      <c r="L7" s="19">
        <f>L5-I5</f>
        <v>5000</v>
      </c>
      <c r="O7" s="1" t="s">
        <v>11</v>
      </c>
      <c r="P7" s="1">
        <v>2</v>
      </c>
    </row>
    <row r="8" spans="2:18" ht="15">
      <c r="B8" s="12" t="s">
        <v>12</v>
      </c>
      <c r="C8" s="20" t="s">
        <v>13</v>
      </c>
      <c r="D8" s="4"/>
      <c r="E8" s="12" t="s">
        <v>14</v>
      </c>
      <c r="F8" s="21">
        <v>6</v>
      </c>
      <c r="G8" s="4"/>
      <c r="H8" s="12"/>
      <c r="I8" s="22"/>
      <c r="J8" s="4"/>
      <c r="K8" s="23"/>
      <c r="L8" s="24"/>
    </row>
    <row r="9" spans="2:18" ht="22.5" customHeight="1">
      <c r="B9" s="12" t="s">
        <v>15</v>
      </c>
      <c r="C9" s="20">
        <f>C6/C7</f>
        <v>21.739130434782609</v>
      </c>
      <c r="D9" s="4"/>
      <c r="E9" s="12" t="s">
        <v>16</v>
      </c>
      <c r="F9" s="25">
        <f>F8*30</f>
        <v>180</v>
      </c>
      <c r="G9" s="4"/>
      <c r="H9" s="26" t="s">
        <v>10</v>
      </c>
      <c r="I9" s="27">
        <f>I6-I5</f>
        <v>26000</v>
      </c>
      <c r="J9" s="4"/>
      <c r="K9" s="4"/>
      <c r="L9" s="4"/>
      <c r="O9" s="1" t="s">
        <v>17</v>
      </c>
      <c r="P9" s="1">
        <v>10</v>
      </c>
      <c r="Q9" s="1"/>
    </row>
    <row r="10" spans="2:18" ht="15">
      <c r="B10" s="12"/>
      <c r="C10" s="28" t="s">
        <v>18</v>
      </c>
      <c r="D10" s="4"/>
      <c r="E10" s="12" t="s">
        <v>19</v>
      </c>
      <c r="F10" s="29">
        <f>(C17*F7)/360</f>
        <v>36.666666666666664</v>
      </c>
      <c r="G10" s="4"/>
      <c r="H10" s="4"/>
      <c r="I10" s="4"/>
      <c r="J10" s="30"/>
      <c r="K10" s="31" t="s">
        <v>20</v>
      </c>
      <c r="L10" s="32">
        <f>C17/L5</f>
        <v>0.58201058201058198</v>
      </c>
      <c r="M10" s="33"/>
      <c r="O10" s="1" t="s">
        <v>21</v>
      </c>
      <c r="P10" s="1">
        <v>8</v>
      </c>
      <c r="Q10" s="1"/>
    </row>
    <row r="11" spans="2:18" ht="15">
      <c r="B11" s="12" t="s">
        <v>22</v>
      </c>
      <c r="C11" s="19">
        <f>SUM(C5:C6)</f>
        <v>165000</v>
      </c>
      <c r="D11" s="4"/>
      <c r="E11" s="12" t="s">
        <v>23</v>
      </c>
      <c r="F11" s="29">
        <f>F10*F9</f>
        <v>6600</v>
      </c>
      <c r="G11" s="4"/>
      <c r="H11" s="34" t="s">
        <v>24</v>
      </c>
      <c r="I11" s="35">
        <v>135000</v>
      </c>
      <c r="J11" s="30"/>
      <c r="K11" s="30"/>
      <c r="L11" s="30"/>
      <c r="M11" s="33"/>
      <c r="O11" s="1" t="s">
        <v>25</v>
      </c>
      <c r="P11" s="1">
        <v>5</v>
      </c>
      <c r="Q11" s="1"/>
    </row>
    <row r="12" spans="2:18" ht="15">
      <c r="B12" s="12"/>
      <c r="C12" s="36"/>
      <c r="D12" s="4"/>
      <c r="E12" s="12"/>
      <c r="F12" s="22"/>
      <c r="G12" s="4"/>
      <c r="H12" s="12"/>
      <c r="I12" s="18"/>
      <c r="J12" s="30"/>
      <c r="K12" s="30"/>
      <c r="L12" s="30"/>
      <c r="M12" s="33"/>
      <c r="O12" s="1" t="s">
        <v>26</v>
      </c>
      <c r="P12" s="1">
        <v>2</v>
      </c>
      <c r="Q12" s="1"/>
    </row>
    <row r="13" spans="2:18" ht="15">
      <c r="B13" s="10" t="s">
        <v>27</v>
      </c>
      <c r="C13" s="37">
        <v>110000</v>
      </c>
      <c r="D13" s="4"/>
      <c r="E13" s="12" t="s">
        <v>28</v>
      </c>
      <c r="F13" s="38">
        <v>0.03</v>
      </c>
      <c r="G13" s="7"/>
      <c r="H13" s="26" t="s">
        <v>29</v>
      </c>
      <c r="I13" s="39">
        <v>2400</v>
      </c>
      <c r="J13" s="30"/>
      <c r="L13" s="30"/>
      <c r="M13" s="33"/>
      <c r="O13" s="1" t="s">
        <v>30</v>
      </c>
      <c r="P13" s="1">
        <v>1</v>
      </c>
      <c r="Q13" s="1"/>
    </row>
    <row r="14" spans="2:18" ht="15">
      <c r="B14" s="40" t="s">
        <v>31</v>
      </c>
      <c r="C14" s="41">
        <f>C13/C5</f>
        <v>0.7857142857142857</v>
      </c>
      <c r="D14" s="4"/>
      <c r="E14" s="12"/>
      <c r="F14" s="22"/>
      <c r="G14" s="4"/>
      <c r="H14" s="42"/>
      <c r="I14" s="43"/>
      <c r="J14" s="30"/>
      <c r="L14" s="30"/>
      <c r="M14" s="33"/>
    </row>
    <row r="15" spans="2:18" ht="15">
      <c r="B15" s="10" t="s">
        <v>32</v>
      </c>
      <c r="C15" s="37">
        <v>0</v>
      </c>
      <c r="D15" s="4"/>
      <c r="E15" s="12" t="s">
        <v>33</v>
      </c>
      <c r="F15" s="19">
        <f>F5*C5</f>
        <v>9100</v>
      </c>
      <c r="G15" s="4"/>
      <c r="H15" s="44" t="s">
        <v>34</v>
      </c>
      <c r="I15" s="45">
        <f>I11 -SUM(C13,F16,F17,(0.04*C17))</f>
        <v>10700</v>
      </c>
      <c r="J15" s="33"/>
      <c r="K15" s="46"/>
      <c r="L15" s="46"/>
      <c r="M15" s="46"/>
      <c r="N15" s="47"/>
      <c r="P15" s="1" t="s">
        <v>35</v>
      </c>
      <c r="Q15" s="1">
        <v>10</v>
      </c>
      <c r="R15" s="1"/>
    </row>
    <row r="16" spans="2:18" ht="15">
      <c r="B16" s="40" t="s">
        <v>36</v>
      </c>
      <c r="C16" s="41">
        <f>C15/C6</f>
        <v>0</v>
      </c>
      <c r="D16" s="4"/>
      <c r="E16" s="12" t="s">
        <v>37</v>
      </c>
      <c r="F16" s="29">
        <f>F11</f>
        <v>6600</v>
      </c>
      <c r="G16" s="4"/>
      <c r="H16" s="26" t="s">
        <v>38</v>
      </c>
      <c r="I16" s="48">
        <f>((I13*12)*0.6)/C17</f>
        <v>0.15709090909090909</v>
      </c>
      <c r="J16" s="30"/>
      <c r="K16" s="46"/>
      <c r="L16" s="46"/>
      <c r="M16" s="46"/>
      <c r="P16" s="1" t="s">
        <v>39</v>
      </c>
      <c r="Q16" s="1">
        <v>3</v>
      </c>
      <c r="R16" s="1"/>
    </row>
    <row r="17" spans="1:15" ht="15">
      <c r="B17" s="49" t="s">
        <v>40</v>
      </c>
      <c r="C17" s="50">
        <f>C13+C15</f>
        <v>110000</v>
      </c>
      <c r="D17" s="4"/>
      <c r="E17" s="12" t="s">
        <v>41</v>
      </c>
      <c r="F17" s="19">
        <f>F13*C17</f>
        <v>3300</v>
      </c>
      <c r="G17" s="4"/>
      <c r="J17" s="30"/>
      <c r="K17" s="46"/>
      <c r="L17" s="46"/>
      <c r="M17" s="46"/>
    </row>
    <row r="18" spans="1:15" ht="15">
      <c r="E18" s="26" t="s">
        <v>42</v>
      </c>
      <c r="F18" s="27">
        <f>SUM(F15:F17)</f>
        <v>19000</v>
      </c>
      <c r="G18" s="4"/>
      <c r="J18" s="30"/>
      <c r="K18" s="46"/>
      <c r="L18" s="46"/>
      <c r="M18" s="46"/>
    </row>
    <row r="19" spans="1:15" ht="26">
      <c r="A19" s="47"/>
      <c r="B19" s="72" t="s">
        <v>43</v>
      </c>
      <c r="C19" s="73"/>
      <c r="D19" s="51"/>
      <c r="E19" s="47"/>
      <c r="F19" s="47"/>
      <c r="H19" s="52" t="s">
        <v>44</v>
      </c>
      <c r="I19" s="53"/>
      <c r="J19" s="54"/>
      <c r="K19" s="54"/>
      <c r="L19" s="54"/>
      <c r="N19" s="1" t="s">
        <v>45</v>
      </c>
      <c r="O19" s="1">
        <v>2</v>
      </c>
    </row>
    <row r="20" spans="1:15" ht="14">
      <c r="A20" s="47"/>
      <c r="B20" s="55" t="s">
        <v>46</v>
      </c>
      <c r="C20" s="56">
        <f>C13/I11</f>
        <v>0.81481481481481477</v>
      </c>
      <c r="D20" s="51"/>
      <c r="E20" s="57"/>
      <c r="F20" s="58"/>
      <c r="H20" s="54" t="s">
        <v>56</v>
      </c>
      <c r="I20" s="59"/>
      <c r="J20" s="54"/>
      <c r="K20" s="54"/>
      <c r="L20" s="54"/>
      <c r="N20" s="1"/>
      <c r="O20" s="1"/>
    </row>
    <row r="21" spans="1:15" ht="14">
      <c r="A21" s="47"/>
      <c r="B21" s="55" t="s">
        <v>47</v>
      </c>
      <c r="C21" s="56">
        <f>C17/I6</f>
        <v>0.52380952380952384</v>
      </c>
      <c r="D21" s="47"/>
      <c r="E21" s="60"/>
      <c r="F21" s="47"/>
      <c r="H21" s="54"/>
      <c r="I21" s="54"/>
      <c r="J21" s="54"/>
      <c r="K21" s="54"/>
      <c r="L21" s="54"/>
    </row>
    <row r="22" spans="1:15" ht="14">
      <c r="A22" s="47"/>
      <c r="B22" s="55" t="s">
        <v>48</v>
      </c>
      <c r="C22" s="56">
        <f>C17/C11</f>
        <v>0.66666666666666663</v>
      </c>
      <c r="D22" s="47"/>
      <c r="E22" s="61"/>
      <c r="F22" s="47"/>
      <c r="H22" s="54"/>
      <c r="I22" s="54"/>
      <c r="J22" s="54"/>
      <c r="K22" s="54"/>
      <c r="L22" s="54"/>
    </row>
    <row r="23" spans="1:15" ht="14">
      <c r="A23" s="47"/>
      <c r="B23" s="55" t="s">
        <v>49</v>
      </c>
      <c r="C23" s="62">
        <f>I9</f>
        <v>26000</v>
      </c>
      <c r="H23" s="63" t="s">
        <v>50</v>
      </c>
      <c r="I23" s="59"/>
      <c r="J23" s="54"/>
      <c r="K23" s="54"/>
      <c r="L23" s="54"/>
    </row>
    <row r="24" spans="1:15" ht="14">
      <c r="A24" s="47"/>
      <c r="B24" s="55" t="s">
        <v>51</v>
      </c>
      <c r="C24" s="64" t="str">
        <f>IF(I15 &lt; 0, "No", "Yes")</f>
        <v>Yes</v>
      </c>
      <c r="H24" s="65"/>
      <c r="I24" s="54"/>
      <c r="J24" s="54"/>
      <c r="K24" s="54"/>
      <c r="L24" s="54"/>
    </row>
    <row r="25" spans="1:15" ht="14">
      <c r="A25" s="47"/>
      <c r="B25" s="55" t="s">
        <v>52</v>
      </c>
      <c r="C25" s="66" t="s">
        <v>53</v>
      </c>
      <c r="H25" s="65"/>
      <c r="I25" s="54"/>
      <c r="J25" s="54"/>
      <c r="K25" s="54"/>
      <c r="L25" s="54"/>
    </row>
    <row r="26" spans="1:15" ht="14">
      <c r="B26" s="67" t="s">
        <v>54</v>
      </c>
      <c r="C26" s="68"/>
      <c r="H26" s="65"/>
      <c r="I26" s="54"/>
      <c r="J26" s="54"/>
      <c r="K26" s="54"/>
      <c r="L26" s="54"/>
    </row>
    <row r="27" spans="1:15" ht="13">
      <c r="C27" s="69"/>
      <c r="D27" s="54"/>
      <c r="E27" s="54"/>
      <c r="H27" s="65"/>
      <c r="I27" s="54"/>
      <c r="J27" s="54"/>
      <c r="K27" s="54"/>
      <c r="L27" s="54"/>
    </row>
    <row r="28" spans="1:15" ht="13">
      <c r="B28" s="54"/>
      <c r="C28" s="54"/>
      <c r="D28" s="54"/>
      <c r="E28" s="54"/>
      <c r="F28" s="70"/>
      <c r="H28" s="65"/>
    </row>
    <row r="29" spans="1:15" ht="13">
      <c r="B29" s="54"/>
      <c r="C29" s="54"/>
      <c r="D29" s="54"/>
      <c r="E29" s="54"/>
      <c r="F29" s="70"/>
      <c r="H29" s="76" t="s">
        <v>57</v>
      </c>
    </row>
    <row r="30" spans="1:15" ht="13">
      <c r="B30" s="54"/>
      <c r="C30" s="54"/>
      <c r="D30" s="54"/>
      <c r="E30" s="54"/>
      <c r="F30" s="70"/>
      <c r="H30" s="65"/>
    </row>
    <row r="31" spans="1:15" ht="13">
      <c r="B31" s="54"/>
      <c r="C31" s="54"/>
      <c r="D31" s="54"/>
      <c r="E31" s="54"/>
      <c r="F31" s="70"/>
      <c r="H31" s="65"/>
    </row>
    <row r="32" spans="1:15" ht="13">
      <c r="B32" s="54"/>
      <c r="C32" s="54"/>
      <c r="D32" s="54"/>
      <c r="E32" s="54"/>
      <c r="F32" s="70"/>
      <c r="H32" s="65"/>
    </row>
    <row r="33" spans="3:8" ht="13">
      <c r="C33" s="54"/>
      <c r="H33" s="65"/>
    </row>
    <row r="34" spans="3:8" ht="13">
      <c r="H34" s="65"/>
    </row>
    <row r="35" spans="3:8" ht="13">
      <c r="D35" s="71"/>
      <c r="E35" s="71"/>
      <c r="H35" s="65"/>
    </row>
    <row r="36" spans="3:8" ht="13">
      <c r="C36" s="71"/>
    </row>
  </sheetData>
  <mergeCells count="1">
    <mergeCell ref="B19:C19"/>
  </mergeCells>
  <conditionalFormatting sqref="C20 C22">
    <cfRule type="cellIs" dxfId="11" priority="7" operator="greaterThanOrEqual">
      <formula>"85%"</formula>
    </cfRule>
    <cfRule type="cellIs" dxfId="10" priority="8" operator="lessThanOrEqual">
      <formula>"85%"</formula>
    </cfRule>
  </conditionalFormatting>
  <conditionalFormatting sqref="C23">
    <cfRule type="cellIs" dxfId="9" priority="9" operator="greaterThanOrEqual">
      <formula>25000</formula>
    </cfRule>
    <cfRule type="cellIs" dxfId="8" priority="10" operator="lessThan">
      <formula>25000</formula>
    </cfRule>
  </conditionalFormatting>
  <conditionalFormatting sqref="C24">
    <cfRule type="containsText" dxfId="7" priority="11" operator="containsText" text="Yes">
      <formula>NOT(ISERROR(SEARCH(("Yes"),(C24))))</formula>
    </cfRule>
    <cfRule type="containsText" dxfId="6" priority="12" operator="containsText" text="No">
      <formula>NOT(ISERROR(SEARCH(("No"),(C24))))</formula>
    </cfRule>
  </conditionalFormatting>
  <conditionalFormatting sqref="I15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L7">
    <cfRule type="cellIs" dxfId="3" priority="5" operator="greaterThanOrEqual">
      <formula>5000</formula>
    </cfRule>
    <cfRule type="cellIs" dxfId="2" priority="6" operator="lessThanOrEqual">
      <formula>4999</formula>
    </cfRule>
  </conditionalFormatting>
  <conditionalFormatting sqref="L10 C21">
    <cfRule type="cellIs" dxfId="1" priority="3" operator="greaterThanOrEqual">
      <formula>"76%"</formula>
    </cfRule>
    <cfRule type="cellIs" dxfId="0" priority="4" operator="lessThanOrEqual">
      <formula>"75%"</formula>
    </cfRule>
  </conditionalFormatting>
  <dataValidations count="3">
    <dataValidation type="list" allowBlank="1" showErrorMessage="1" sqref="C25" xr:uid="{00000000-0002-0000-0000-000000000000}">
      <formula1>"Primary,Secondary,Tertiary"</formula1>
    </dataValidation>
    <dataValidation type="list" allowBlank="1" showErrorMessage="1" sqref="C8" xr:uid="{00000000-0002-0000-0000-000001000000}">
      <formula1>"Good,Bad,Really Bad"</formula1>
    </dataValidation>
    <dataValidation type="list" allowBlank="1" showErrorMessage="1" sqref="C10" xr:uid="{00000000-0002-0000-0000-000002000000}">
      <formula1>"Light ($30/SF),Medium ($50-60/SF),Heavy ($70-$90/SF)"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 Spread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 Coleman</cp:lastModifiedBy>
  <dcterms:modified xsi:type="dcterms:W3CDTF">2026-02-21T22:06:42Z</dcterms:modified>
</cp:coreProperties>
</file>